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hasiswa 3\Downloads\"/>
    </mc:Choice>
  </mc:AlternateContent>
  <xr:revisionPtr revIDLastSave="0" documentId="13_ncr:1_{8DF5C9CE-E512-4A8A-9C42-BF29EC1D889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takeholder Map" sheetId="1" r:id="rId1"/>
    <sheet name="Analisi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D12" i="2"/>
  <c r="B12" i="2"/>
  <c r="E11" i="2"/>
  <c r="D11" i="2"/>
  <c r="B11" i="2"/>
  <c r="E10" i="2"/>
  <c r="D10" i="2"/>
  <c r="B10" i="2"/>
  <c r="E9" i="2"/>
  <c r="D9" i="2"/>
  <c r="B9" i="2"/>
  <c r="E8" i="2"/>
  <c r="D8" i="2"/>
  <c r="B8" i="2"/>
  <c r="E7" i="2"/>
  <c r="D7" i="2"/>
  <c r="B7" i="2"/>
  <c r="E6" i="2"/>
  <c r="D6" i="2"/>
  <c r="B6" i="2"/>
  <c r="E5" i="2"/>
  <c r="D5" i="2"/>
  <c r="B5" i="2"/>
  <c r="E4" i="2"/>
  <c r="D4" i="2"/>
  <c r="B4" i="2"/>
  <c r="E3" i="2"/>
  <c r="D3" i="2"/>
  <c r="B3" i="2"/>
  <c r="E39" i="1"/>
  <c r="E38" i="1"/>
  <c r="D37" i="1"/>
  <c r="D36" i="1"/>
  <c r="F32" i="1"/>
  <c r="E32" i="1"/>
  <c r="C32" i="1"/>
  <c r="B32" i="1"/>
  <c r="F31" i="1"/>
  <c r="E31" i="1"/>
  <c r="C31" i="1"/>
  <c r="B31" i="1"/>
  <c r="F30" i="1"/>
  <c r="E30" i="1"/>
  <c r="C30" i="1"/>
  <c r="B30" i="1"/>
  <c r="F29" i="1"/>
  <c r="E29" i="1"/>
  <c r="C29" i="1"/>
  <c r="B29" i="1"/>
  <c r="F28" i="1"/>
  <c r="E28" i="1"/>
  <c r="C28" i="1"/>
  <c r="B28" i="1"/>
  <c r="F27" i="1"/>
  <c r="E27" i="1"/>
  <c r="C27" i="1"/>
  <c r="B27" i="1"/>
  <c r="F26" i="1"/>
  <c r="E26" i="1"/>
  <c r="C26" i="1"/>
  <c r="B26" i="1"/>
  <c r="F25" i="1"/>
  <c r="E25" i="1"/>
  <c r="C25" i="1"/>
  <c r="B25" i="1"/>
  <c r="F24" i="1"/>
  <c r="E24" i="1"/>
  <c r="C24" i="1"/>
  <c r="B24" i="1"/>
  <c r="F23" i="1"/>
  <c r="E23" i="1"/>
  <c r="C23" i="1"/>
  <c r="B23" i="1"/>
  <c r="F16" i="1"/>
  <c r="F12" i="2" s="1"/>
  <c r="F15" i="1"/>
  <c r="F11" i="2" s="1"/>
  <c r="F14" i="1"/>
  <c r="F10" i="2" s="1"/>
  <c r="F13" i="1"/>
  <c r="F9" i="2" s="1"/>
  <c r="F12" i="1"/>
  <c r="F8" i="2" s="1"/>
  <c r="F11" i="1"/>
  <c r="F7" i="2" s="1"/>
  <c r="F10" i="1"/>
  <c r="F6" i="2" s="1"/>
  <c r="F9" i="1"/>
  <c r="F5" i="2" s="1"/>
  <c r="F8" i="1"/>
  <c r="F4" i="2" s="1"/>
  <c r="F7" i="1"/>
  <c r="F3" i="2" s="1"/>
</calcChain>
</file>

<file path=xl/sharedStrings.xml><?xml version="1.0" encoding="utf-8"?>
<sst xmlns="http://schemas.openxmlformats.org/spreadsheetml/2006/main" count="68" uniqueCount="59">
  <si>
    <t>STAKEHOLDER MAP</t>
  </si>
  <si>
    <t>PROJECT NAME: SISTEM INFORMASI KLINIK SEHAT BERSAMA</t>
  </si>
  <si>
    <t>No.</t>
  </si>
  <si>
    <t>Stakeholder</t>
  </si>
  <si>
    <t>Power</t>
  </si>
  <si>
    <t>Interest</t>
  </si>
  <si>
    <t>Kuadran</t>
  </si>
  <si>
    <t>Pemilik Klinik</t>
  </si>
  <si>
    <t>Kepala Klinik</t>
  </si>
  <si>
    <t>Divisi IT</t>
  </si>
  <si>
    <t>Dokter</t>
  </si>
  <si>
    <t>Vendor Pengembang</t>
  </si>
  <si>
    <t>Perawat</t>
  </si>
  <si>
    <t>Petugas Pendaftaran</t>
  </si>
  <si>
    <t>Apoteker</t>
  </si>
  <si>
    <t>Petugas Kasir/Keuangan</t>
  </si>
  <si>
    <t>Pasien</t>
  </si>
  <si>
    <t>Chart Axis</t>
  </si>
  <si>
    <t>Batas skor tinggi/rendah</t>
  </si>
  <si>
    <t>Geser Y</t>
  </si>
  <si>
    <t>X plot</t>
  </si>
  <si>
    <t>Y plot</t>
  </si>
  <si>
    <t>Garis sumbu</t>
  </si>
  <si>
    <t>Vertikal</t>
  </si>
  <si>
    <t>Horizontal</t>
  </si>
  <si>
    <t>Analisis Stakeholder (Power dan Interest terhubung ke sheet Stakeholder Map)</t>
  </si>
  <si>
    <t>Peran</t>
  </si>
  <si>
    <t>Analisis</t>
  </si>
  <si>
    <t>Strategi Komunikasi</t>
  </si>
  <si>
    <t>Penyandang dana dan penentu arah bisnis</t>
  </si>
  <si>
    <t>Menentukan anggaran dan arah proyek, penentu utama keberhasilan. Hasil sistem memengaruhi bisnisnya, tetapi tidak terlibat operasional harian.</t>
  </si>
  <si>
    <t>Libatkan intensif dalam keputusan strategis; laporan progres dan demo per tahap.</t>
  </si>
  <si>
    <t>Pemimpin proyek dan pengambil keputusan operasional</t>
  </si>
  <si>
    <t>Memimpin proyek dan memutuskan prioritas. Sistem menjadi sumber informasi keputusannya.</t>
  </si>
  <si>
    <t>Rapat rutin mingguan; persetujuan bersama atas perubahan ruang lingkup.</t>
  </si>
  <si>
    <t>Pelaksana implementasi, keamanan, integrasi, pemeliharaan</t>
  </si>
  <si>
    <t>Menguasai implementasi dan keamanan, berpengaruh kuat. Keberhasilan sistem menjadi tanggung jawab langsungnya.</t>
  </si>
  <si>
    <t>Koordinasi intensif dan monitoring rutin; kawal keamanan akses data pasien.</t>
  </si>
  <si>
    <t>Pengguna utama pemeriksaan dan rekam medis</t>
  </si>
  <si>
    <t>Menentukan adopsi sistem di layanan medis. Pekerjaan sangat bergantung pada akses cepat riwayat pasien.</t>
  </si>
  <si>
    <t>Libatkan dalam penentuan kebutuhan rekam medis; uji coba dan umpan balik berkala.</t>
  </si>
  <si>
    <t>Pembangun dan penyesuai sistem</t>
  </si>
  <si>
    <t>Memegang kendali teknis pembangunan. Kepentingan sedang karena terikat kontrak dan tidak memakai sistem sehari-hari.</t>
  </si>
  <si>
    <t>Kontrak dengan SLA dan jadwal jelas; pantau progres berkala; laporan status ringkas.</t>
  </si>
  <si>
    <t>Pengguna pencatatan tindakan dan kondisi pasien</t>
  </si>
  <si>
    <t>Tidak ikut memutuskan proyek, tetapi pekerjaan pencatatan harian langsung berubah.</t>
  </si>
  <si>
    <t>Pelatihan sebelum go-live; kanal masukan; dukungan teknis.</t>
  </si>
  <si>
    <t>Pengguna di tahap awal pelayanan</t>
  </si>
  <si>
    <t>Suara terbatas dalam keputusan proyek, tetapi kecepatan kerja dan antrean langsung dipengaruhi sistem.</t>
  </si>
  <si>
    <t>Pelatihan; uji coba alur pendaftaran; tampung masukan.</t>
  </si>
  <si>
    <t>Pengguna resep dan pengelolaan obat</t>
  </si>
  <si>
    <t>Dapat memengaruhi desain modul resep dan stok, bukan penentu proyek. Akurasi resep dan stok penting bagi pekerjaannya.</t>
  </si>
  <si>
    <t>Uji coba modul resep dan stok bersama apoteker; komunikasi rutin.</t>
  </si>
  <si>
    <t>Pengguna pembayaran dan laporan transaksi</t>
  </si>
  <si>
    <t>Dapat memengaruhi aturan pembayaran dan format laporan, bukan penentu proyek. Akurasi transaksi menyangkut pekerjaannya.</t>
  </si>
  <si>
    <t>Uji coba modul pembayaran; pelatihan; komunikasi rutin.</t>
  </si>
  <si>
    <t>Penerima layanan</t>
  </si>
  <si>
    <t>Tidak ikut memutuskan proyek, tetapi pengalaman layanan dan keakuratan informasi bergantung pada sistem.</t>
  </si>
  <si>
    <t>Informasi perubahan layanan; kanal umpan balik pasien.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</si>
</sst>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20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sz val="10"/>
      <color rgb="FF008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2F4B8F"/>
        <bgColor rgb="FF1F3864"/>
      </patternFill>
    </fill>
    <fill>
      <patternFill patternType="solid">
        <fgColor rgb="FFBFC5D2"/>
        <bgColor rgb="FFD9D9D9"/>
      </patternFill>
    </fill>
    <fill>
      <patternFill patternType="solid">
        <fgColor rgb="FFBF8F00"/>
        <bgColor rgb="FFFF6600"/>
      </patternFill>
    </fill>
    <fill>
      <patternFill patternType="solid">
        <fgColor rgb="FF7F6000"/>
        <bgColor rgb="FF59595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Border="1" applyAlignment="1">
      <alignment vertical="top" wrapText="1"/>
    </xf>
    <xf numFmtId="0" fontId="2" fillId="4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0" fillId="2" borderId="0" xfId="0" applyFill="1"/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6" borderId="0" xfId="0" applyFont="1" applyFill="1" applyAlignment="1">
      <alignment horizontal="left"/>
    </xf>
    <xf numFmtId="0" fontId="6" fillId="6" borderId="0" xfId="0" applyFont="1" applyFill="1" applyAlignment="1">
      <alignment horizontal="center"/>
    </xf>
    <xf numFmtId="0" fontId="8" fillId="0" borderId="0" xfId="0" applyFont="1"/>
    <xf numFmtId="0" fontId="6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C5D2"/>
      <rgbColor rgb="FF878787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4B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STAKEHOLDER MAP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'Stakeholder Map'!$C$23</c:f>
              <c:strCache>
                <c:ptCount val="1"/>
                <c:pt idx="0">
                  <c:v>Pemilik Klinik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Map'!$E$23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Map'!$F$23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45-4486-AE1F-4CF8F653F9A5}"/>
            </c:ext>
          </c:extLst>
        </c:ser>
        <c:ser>
          <c:idx val="1"/>
          <c:order val="1"/>
          <c:tx>
            <c:strRef>
              <c:f>'Stakeholder Map'!$C$24</c:f>
              <c:strCache>
                <c:ptCount val="1"/>
                <c:pt idx="0">
                  <c:v>Kepala Klinik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Map'!$E$24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Map'!$F$24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45-4486-AE1F-4CF8F653F9A5}"/>
            </c:ext>
          </c:extLst>
        </c:ser>
        <c:ser>
          <c:idx val="2"/>
          <c:order val="2"/>
          <c:tx>
            <c:strRef>
              <c:f>'Stakeholder Map'!$C$25</c:f>
              <c:strCache>
                <c:ptCount val="1"/>
                <c:pt idx="0">
                  <c:v>Divisi IT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Map'!$E$25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Map'!$F$25</c:f>
              <c:numCache>
                <c:formatCode>General</c:formatCode>
                <c:ptCount val="1"/>
                <c:pt idx="0">
                  <c:v>4.1500000000000004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45-4486-AE1F-4CF8F653F9A5}"/>
            </c:ext>
          </c:extLst>
        </c:ser>
        <c:ser>
          <c:idx val="3"/>
          <c:order val="3"/>
          <c:tx>
            <c:strRef>
              <c:f>'Stakeholder Map'!$C$26</c:f>
              <c:strCache>
                <c:ptCount val="1"/>
                <c:pt idx="0">
                  <c:v>Dokter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Map'!$E$26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Map'!$F$26</c:f>
              <c:numCache>
                <c:formatCode>General</c:formatCode>
                <c:ptCount val="1"/>
                <c:pt idx="0">
                  <c:v>3.85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45-4486-AE1F-4CF8F653F9A5}"/>
            </c:ext>
          </c:extLst>
        </c:ser>
        <c:ser>
          <c:idx val="4"/>
          <c:order val="4"/>
          <c:tx>
            <c:strRef>
              <c:f>'Stakeholder Map'!$C$27</c:f>
              <c:strCache>
                <c:ptCount val="1"/>
                <c:pt idx="0">
                  <c:v>Vendor Pengembang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Map'!$E$27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Map'!$F$27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45-4486-AE1F-4CF8F653F9A5}"/>
            </c:ext>
          </c:extLst>
        </c:ser>
        <c:ser>
          <c:idx val="5"/>
          <c:order val="5"/>
          <c:tx>
            <c:strRef>
              <c:f>'Stakeholder Map'!$C$28</c:f>
              <c:strCache>
                <c:ptCount val="1"/>
                <c:pt idx="0">
                  <c:v>Perawat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Map'!$E$28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Map'!$F$28</c:f>
              <c:numCache>
                <c:formatCode>General</c:formatCode>
                <c:ptCount val="1"/>
                <c:pt idx="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45-4486-AE1F-4CF8F653F9A5}"/>
            </c:ext>
          </c:extLst>
        </c:ser>
        <c:ser>
          <c:idx val="6"/>
          <c:order val="6"/>
          <c:tx>
            <c:strRef>
              <c:f>'Stakeholder Map'!$C$29</c:f>
              <c:strCache>
                <c:ptCount val="1"/>
                <c:pt idx="0">
                  <c:v>Petugas Pendaftaran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Map'!$E$29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Map'!$F$29</c:f>
              <c:numCache>
                <c:formatCode>General</c:formatCode>
                <c:ptCount val="1"/>
                <c:pt idx="0">
                  <c:v>1.85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A45-4486-AE1F-4CF8F653F9A5}"/>
            </c:ext>
          </c:extLst>
        </c:ser>
        <c:ser>
          <c:idx val="7"/>
          <c:order val="7"/>
          <c:tx>
            <c:strRef>
              <c:f>'Stakeholder Map'!$C$30</c:f>
              <c:strCache>
                <c:ptCount val="1"/>
                <c:pt idx="0">
                  <c:v>Apoteker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Map'!$E$30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Map'!$F$30</c:f>
              <c:numCache>
                <c:formatCode>General</c:formatCode>
                <c:ptCount val="1"/>
                <c:pt idx="0">
                  <c:v>3.15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45-4486-AE1F-4CF8F653F9A5}"/>
            </c:ext>
          </c:extLst>
        </c:ser>
        <c:ser>
          <c:idx val="8"/>
          <c:order val="8"/>
          <c:tx>
            <c:strRef>
              <c:f>'Stakeholder Map'!$C$31</c:f>
              <c:strCache>
                <c:ptCount val="1"/>
                <c:pt idx="0">
                  <c:v>Petugas Kasir/Keuangan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Map'!$E$31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Map'!$F$31</c:f>
              <c:numCache>
                <c:formatCode>General</c:formatCode>
                <c:ptCount val="1"/>
                <c:pt idx="0">
                  <c:v>2.85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A45-4486-AE1F-4CF8F653F9A5}"/>
            </c:ext>
          </c:extLst>
        </c:ser>
        <c:ser>
          <c:idx val="9"/>
          <c:order val="9"/>
          <c:tx>
            <c:strRef>
              <c:f>'Stakeholder Map'!$C$32</c:f>
              <c:strCache>
                <c:ptCount val="1"/>
                <c:pt idx="0">
                  <c:v>Pasien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9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Map'!$E$32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'Stakeholder Map'!$F$32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A45-4486-AE1F-4CF8F653F9A5}"/>
            </c:ext>
          </c:extLst>
        </c:ser>
        <c:ser>
          <c:idx val="10"/>
          <c:order val="10"/>
          <c:tx>
            <c:v>Chart Axis</c:v>
          </c:tx>
          <c:spPr>
            <a:ln w="19080">
              <a:solidFill>
                <a:srgbClr val="59595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Map'!$D$36:$D$37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'Stakeholder Map'!$E$36:$E$37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A45-4486-AE1F-4CF8F653F9A5}"/>
            </c:ext>
          </c:extLst>
        </c:ser>
        <c:ser>
          <c:idx val="11"/>
          <c:order val="11"/>
          <c:tx>
            <c:v>Chart Axis</c:v>
          </c:tx>
          <c:spPr>
            <a:ln w="19080">
              <a:solidFill>
                <a:srgbClr val="59595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'Stakeholder Map'!$D$38:$D$39</c:f>
              <c:numCache>
                <c:formatCode>General</c:formatCode>
                <c:ptCount val="2"/>
                <c:pt idx="0">
                  <c:v>0</c:v>
                </c:pt>
                <c:pt idx="1">
                  <c:v>7</c:v>
                </c:pt>
              </c:numCache>
            </c:numRef>
          </c:xVal>
          <c:yVal>
            <c:numRef>
              <c:f>'Stakeholder Map'!$E$38:$E$39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A45-4486-AE1F-4CF8F653F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0240"/>
        <c:axId val="89475854"/>
      </c:scatterChart>
      <c:valAx>
        <c:axId val="85330240"/>
        <c:scaling>
          <c:orientation val="minMax"/>
          <c:max val="7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Interest (kepentingan)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75854"/>
        <c:crosses val="autoZero"/>
        <c:crossBetween val="midCat"/>
        <c:majorUnit val="1"/>
      </c:valAx>
      <c:valAx>
        <c:axId val="89475854"/>
        <c:scaling>
          <c:orientation val="minMax"/>
          <c:max val="6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Power (pengaruh)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30240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18</xdr:col>
      <xdr:colOff>113040</xdr:colOff>
      <xdr:row>27</xdr:row>
      <xdr:rowOff>23040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showGridLines="0" tabSelected="1" zoomScaleNormal="100" workbookViewId="0">
      <selection activeCell="W23" sqref="W23"/>
    </sheetView>
  </sheetViews>
  <sheetFormatPr defaultColWidth="8.7109375" defaultRowHeight="15" x14ac:dyDescent="0.25"/>
  <cols>
    <col min="1" max="1" width="2" customWidth="1"/>
    <col min="2" max="2" width="6" customWidth="1"/>
    <col min="3" max="3" width="26" customWidth="1"/>
    <col min="4" max="5" width="10" customWidth="1"/>
    <col min="6" max="6" width="30" customWidth="1"/>
    <col min="7" max="7" width="3" customWidth="1"/>
  </cols>
  <sheetData>
    <row r="1" spans="1:2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33.75" customHeight="1" x14ac:dyDescent="0.25">
      <c r="A2" s="4"/>
      <c r="B2" s="3" t="s">
        <v>0</v>
      </c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9.5" customHeight="1" x14ac:dyDescent="0.25">
      <c r="A3" s="4"/>
      <c r="B3" s="2" t="s">
        <v>1</v>
      </c>
      <c r="C3" s="2"/>
      <c r="D3" s="2"/>
      <c r="E3" s="2"/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6" spans="1:21" x14ac:dyDescent="0.25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</row>
    <row r="7" spans="1:21" x14ac:dyDescent="0.25">
      <c r="B7" s="6">
        <v>1</v>
      </c>
      <c r="C7" s="7" t="s">
        <v>7</v>
      </c>
      <c r="D7" s="8">
        <v>5</v>
      </c>
      <c r="E7" s="8">
        <v>4</v>
      </c>
      <c r="F7" s="7" t="str">
        <f t="shared" ref="F7:F16" si="0">IF(AND(D7&gt;=4,E7&gt;=4),"Kelola secara dekat",IF(D7&gt;=4,"Jaga kepuasan",IF(E7&gt;=4,"Libatkan, komunikasi rutin","Monitor")))</f>
        <v>Kelola secara dekat</v>
      </c>
    </row>
    <row r="8" spans="1:21" x14ac:dyDescent="0.25">
      <c r="B8" s="6">
        <v>2</v>
      </c>
      <c r="C8" s="7" t="s">
        <v>8</v>
      </c>
      <c r="D8" s="8">
        <v>5</v>
      </c>
      <c r="E8" s="8">
        <v>5</v>
      </c>
      <c r="F8" s="7" t="str">
        <f t="shared" si="0"/>
        <v>Kelola secara dekat</v>
      </c>
    </row>
    <row r="9" spans="1:21" x14ac:dyDescent="0.25">
      <c r="B9" s="6">
        <v>3</v>
      </c>
      <c r="C9" s="7" t="s">
        <v>9</v>
      </c>
      <c r="D9" s="8">
        <v>4</v>
      </c>
      <c r="E9" s="8">
        <v>5</v>
      </c>
      <c r="F9" s="7" t="str">
        <f t="shared" si="0"/>
        <v>Kelola secara dekat</v>
      </c>
    </row>
    <row r="10" spans="1:21" x14ac:dyDescent="0.25">
      <c r="B10" s="6">
        <v>4</v>
      </c>
      <c r="C10" s="7" t="s">
        <v>10</v>
      </c>
      <c r="D10" s="8">
        <v>4</v>
      </c>
      <c r="E10" s="8">
        <v>5</v>
      </c>
      <c r="F10" s="7" t="str">
        <f t="shared" si="0"/>
        <v>Kelola secara dekat</v>
      </c>
    </row>
    <row r="11" spans="1:21" x14ac:dyDescent="0.25">
      <c r="B11" s="6">
        <v>5</v>
      </c>
      <c r="C11" s="7" t="s">
        <v>11</v>
      </c>
      <c r="D11" s="8">
        <v>4</v>
      </c>
      <c r="E11" s="8">
        <v>3</v>
      </c>
      <c r="F11" s="7" t="str">
        <f t="shared" si="0"/>
        <v>Jaga kepuasan</v>
      </c>
    </row>
    <row r="12" spans="1:21" x14ac:dyDescent="0.25">
      <c r="B12" s="6">
        <v>6</v>
      </c>
      <c r="C12" s="7" t="s">
        <v>12</v>
      </c>
      <c r="D12" s="8">
        <v>2</v>
      </c>
      <c r="E12" s="8">
        <v>5</v>
      </c>
      <c r="F12" s="7" t="str">
        <f t="shared" si="0"/>
        <v>Libatkan, komunikasi rutin</v>
      </c>
    </row>
    <row r="13" spans="1:21" x14ac:dyDescent="0.25">
      <c r="B13" s="6">
        <v>7</v>
      </c>
      <c r="C13" s="7" t="s">
        <v>13</v>
      </c>
      <c r="D13" s="8">
        <v>2</v>
      </c>
      <c r="E13" s="8">
        <v>5</v>
      </c>
      <c r="F13" s="7" t="str">
        <f t="shared" si="0"/>
        <v>Libatkan, komunikasi rutin</v>
      </c>
    </row>
    <row r="14" spans="1:21" x14ac:dyDescent="0.25">
      <c r="B14" s="6">
        <v>8</v>
      </c>
      <c r="C14" s="7" t="s">
        <v>14</v>
      </c>
      <c r="D14" s="8">
        <v>3</v>
      </c>
      <c r="E14" s="8">
        <v>4</v>
      </c>
      <c r="F14" s="7" t="str">
        <f t="shared" si="0"/>
        <v>Libatkan, komunikasi rutin</v>
      </c>
    </row>
    <row r="15" spans="1:21" x14ac:dyDescent="0.25">
      <c r="B15" s="6">
        <v>9</v>
      </c>
      <c r="C15" s="7" t="s">
        <v>15</v>
      </c>
      <c r="D15" s="8">
        <v>3</v>
      </c>
      <c r="E15" s="8">
        <v>4</v>
      </c>
      <c r="F15" s="7" t="str">
        <f t="shared" si="0"/>
        <v>Libatkan, komunikasi rutin</v>
      </c>
    </row>
    <row r="16" spans="1:21" x14ac:dyDescent="0.25">
      <c r="B16" s="6">
        <v>10</v>
      </c>
      <c r="C16" s="7" t="s">
        <v>16</v>
      </c>
      <c r="D16" s="8">
        <v>2</v>
      </c>
      <c r="E16" s="8">
        <v>4</v>
      </c>
      <c r="F16" s="7" t="str">
        <f t="shared" si="0"/>
        <v>Libatkan, komunikasi rutin</v>
      </c>
    </row>
    <row r="17" spans="2:6" x14ac:dyDescent="0.25">
      <c r="B17" s="9"/>
      <c r="C17" s="9" t="s">
        <v>17</v>
      </c>
      <c r="D17" s="10">
        <v>3.5</v>
      </c>
      <c r="E17" s="10">
        <v>3.5</v>
      </c>
      <c r="F17" s="9" t="s">
        <v>18</v>
      </c>
    </row>
    <row r="19" spans="2:6" ht="37.5" customHeight="1" x14ac:dyDescent="0.25">
      <c r="B19" s="1"/>
      <c r="C19" s="1"/>
      <c r="D19" s="1"/>
      <c r="E19" s="1"/>
      <c r="F19" s="1"/>
    </row>
    <row r="21" spans="2:6" x14ac:dyDescent="0.25">
      <c r="B21" s="11"/>
    </row>
    <row r="22" spans="2:6" x14ac:dyDescent="0.25">
      <c r="B22" s="12" t="s">
        <v>2</v>
      </c>
      <c r="C22" s="12" t="s">
        <v>3</v>
      </c>
      <c r="D22" s="12" t="s">
        <v>19</v>
      </c>
      <c r="E22" s="12" t="s">
        <v>20</v>
      </c>
      <c r="F22" s="12" t="s">
        <v>21</v>
      </c>
    </row>
    <row r="23" spans="2:6" x14ac:dyDescent="0.25">
      <c r="B23" s="13">
        <f t="shared" ref="B23:C32" si="1">B7</f>
        <v>1</v>
      </c>
      <c r="C23" s="14" t="str">
        <f t="shared" si="1"/>
        <v>Pemilik Klinik</v>
      </c>
      <c r="D23" s="15">
        <v>0</v>
      </c>
      <c r="E23" s="13">
        <f t="shared" ref="E23:E32" si="2">E7</f>
        <v>4</v>
      </c>
      <c r="F23" s="13">
        <f t="shared" ref="F23:F32" si="3">D7+D23</f>
        <v>5</v>
      </c>
    </row>
    <row r="24" spans="2:6" x14ac:dyDescent="0.25">
      <c r="B24" s="13">
        <f t="shared" si="1"/>
        <v>2</v>
      </c>
      <c r="C24" s="14" t="str">
        <f t="shared" si="1"/>
        <v>Kepala Klinik</v>
      </c>
      <c r="D24" s="15">
        <v>0</v>
      </c>
      <c r="E24" s="13">
        <f t="shared" si="2"/>
        <v>5</v>
      </c>
      <c r="F24" s="13">
        <f t="shared" si="3"/>
        <v>5</v>
      </c>
    </row>
    <row r="25" spans="2:6" x14ac:dyDescent="0.25">
      <c r="B25" s="13">
        <f t="shared" si="1"/>
        <v>3</v>
      </c>
      <c r="C25" s="14" t="str">
        <f t="shared" si="1"/>
        <v>Divisi IT</v>
      </c>
      <c r="D25" s="15">
        <v>0.15</v>
      </c>
      <c r="E25" s="13">
        <f t="shared" si="2"/>
        <v>5</v>
      </c>
      <c r="F25" s="13">
        <f t="shared" si="3"/>
        <v>4.1500000000000004</v>
      </c>
    </row>
    <row r="26" spans="2:6" x14ac:dyDescent="0.25">
      <c r="B26" s="13">
        <f t="shared" si="1"/>
        <v>4</v>
      </c>
      <c r="C26" s="14" t="str">
        <f t="shared" si="1"/>
        <v>Dokter</v>
      </c>
      <c r="D26" s="15">
        <v>-0.15</v>
      </c>
      <c r="E26" s="13">
        <f t="shared" si="2"/>
        <v>5</v>
      </c>
      <c r="F26" s="13">
        <f t="shared" si="3"/>
        <v>3.85</v>
      </c>
    </row>
    <row r="27" spans="2:6" x14ac:dyDescent="0.25">
      <c r="B27" s="13">
        <f t="shared" si="1"/>
        <v>5</v>
      </c>
      <c r="C27" s="14" t="str">
        <f t="shared" si="1"/>
        <v>Vendor Pengembang</v>
      </c>
      <c r="D27" s="15">
        <v>0</v>
      </c>
      <c r="E27" s="13">
        <f t="shared" si="2"/>
        <v>3</v>
      </c>
      <c r="F27" s="13">
        <f t="shared" si="3"/>
        <v>4</v>
      </c>
    </row>
    <row r="28" spans="2:6" x14ac:dyDescent="0.25">
      <c r="B28" s="13">
        <f t="shared" si="1"/>
        <v>6</v>
      </c>
      <c r="C28" s="14" t="str">
        <f t="shared" si="1"/>
        <v>Perawat</v>
      </c>
      <c r="D28" s="15">
        <v>0.15</v>
      </c>
      <c r="E28" s="13">
        <f t="shared" si="2"/>
        <v>5</v>
      </c>
      <c r="F28" s="13">
        <f t="shared" si="3"/>
        <v>2.15</v>
      </c>
    </row>
    <row r="29" spans="2:6" x14ac:dyDescent="0.25">
      <c r="B29" s="13">
        <f t="shared" si="1"/>
        <v>7</v>
      </c>
      <c r="C29" s="14" t="str">
        <f t="shared" si="1"/>
        <v>Petugas Pendaftaran</v>
      </c>
      <c r="D29" s="15">
        <v>-0.15</v>
      </c>
      <c r="E29" s="13">
        <f t="shared" si="2"/>
        <v>5</v>
      </c>
      <c r="F29" s="13">
        <f t="shared" si="3"/>
        <v>1.85</v>
      </c>
    </row>
    <row r="30" spans="2:6" x14ac:dyDescent="0.25">
      <c r="B30" s="13">
        <f t="shared" si="1"/>
        <v>8</v>
      </c>
      <c r="C30" s="14" t="str">
        <f t="shared" si="1"/>
        <v>Apoteker</v>
      </c>
      <c r="D30" s="15">
        <v>0.15</v>
      </c>
      <c r="E30" s="13">
        <f t="shared" si="2"/>
        <v>4</v>
      </c>
      <c r="F30" s="13">
        <f t="shared" si="3"/>
        <v>3.15</v>
      </c>
    </row>
    <row r="31" spans="2:6" x14ac:dyDescent="0.25">
      <c r="B31" s="13">
        <f t="shared" si="1"/>
        <v>9</v>
      </c>
      <c r="C31" s="14" t="str">
        <f t="shared" si="1"/>
        <v>Petugas Kasir/Keuangan</v>
      </c>
      <c r="D31" s="15">
        <v>-0.15</v>
      </c>
      <c r="E31" s="13">
        <f t="shared" si="2"/>
        <v>4</v>
      </c>
      <c r="F31" s="13">
        <f t="shared" si="3"/>
        <v>2.85</v>
      </c>
    </row>
    <row r="32" spans="2:6" x14ac:dyDescent="0.25">
      <c r="B32" s="13">
        <f t="shared" si="1"/>
        <v>10</v>
      </c>
      <c r="C32" s="14" t="str">
        <f t="shared" si="1"/>
        <v>Pasien</v>
      </c>
      <c r="D32" s="15">
        <v>0</v>
      </c>
      <c r="E32" s="13">
        <f t="shared" si="2"/>
        <v>4</v>
      </c>
      <c r="F32" s="13">
        <f t="shared" si="3"/>
        <v>2</v>
      </c>
    </row>
    <row r="33" spans="2:6" ht="37.5" customHeight="1" x14ac:dyDescent="0.25">
      <c r="B33" s="1"/>
      <c r="C33" s="1"/>
      <c r="D33" s="1"/>
      <c r="E33" s="1"/>
      <c r="F33" s="1"/>
    </row>
    <row r="35" spans="2:6" x14ac:dyDescent="0.25">
      <c r="B35" s="11" t="s">
        <v>22</v>
      </c>
    </row>
    <row r="36" spans="2:6" x14ac:dyDescent="0.25">
      <c r="C36" s="16" t="s">
        <v>23</v>
      </c>
      <c r="D36" s="16">
        <f>$E$17</f>
        <v>3.5</v>
      </c>
      <c r="E36" s="16">
        <v>0</v>
      </c>
    </row>
    <row r="37" spans="2:6" x14ac:dyDescent="0.25">
      <c r="C37" s="16" t="s">
        <v>23</v>
      </c>
      <c r="D37" s="16">
        <f>$E$17</f>
        <v>3.5</v>
      </c>
      <c r="E37" s="16">
        <v>6</v>
      </c>
    </row>
    <row r="38" spans="2:6" x14ac:dyDescent="0.25">
      <c r="C38" s="16" t="s">
        <v>24</v>
      </c>
      <c r="D38" s="16">
        <v>0</v>
      </c>
      <c r="E38" s="16">
        <f>$D$17</f>
        <v>3.5</v>
      </c>
    </row>
    <row r="39" spans="2:6" x14ac:dyDescent="0.25">
      <c r="C39" s="16" t="s">
        <v>24</v>
      </c>
      <c r="D39" s="16">
        <v>7</v>
      </c>
      <c r="E39" s="16">
        <f>$D$17</f>
        <v>3.5</v>
      </c>
    </row>
  </sheetData>
  <mergeCells count="4">
    <mergeCell ref="B2:F2"/>
    <mergeCell ref="B3:F3"/>
    <mergeCell ref="B19:F19"/>
    <mergeCell ref="B33:F3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24" customWidth="1"/>
    <col min="3" max="3" width="32" customWidth="1"/>
    <col min="4" max="4" width="8" customWidth="1"/>
    <col min="5" max="5" width="9" customWidth="1"/>
    <col min="6" max="6" width="24" customWidth="1"/>
    <col min="7" max="7" width="60" customWidth="1"/>
    <col min="8" max="8" width="52" customWidth="1"/>
  </cols>
  <sheetData>
    <row r="1" spans="1:8" ht="15.75" x14ac:dyDescent="0.25">
      <c r="A1" s="17" t="s">
        <v>25</v>
      </c>
    </row>
    <row r="2" spans="1:8" x14ac:dyDescent="0.25">
      <c r="A2" s="18" t="s">
        <v>2</v>
      </c>
      <c r="B2" s="18" t="s">
        <v>3</v>
      </c>
      <c r="C2" s="18" t="s">
        <v>26</v>
      </c>
      <c r="D2" s="18" t="s">
        <v>4</v>
      </c>
      <c r="E2" s="18" t="s">
        <v>5</v>
      </c>
      <c r="F2" s="18" t="s">
        <v>6</v>
      </c>
      <c r="G2" s="18" t="s">
        <v>27</v>
      </c>
      <c r="H2" s="18" t="s">
        <v>28</v>
      </c>
    </row>
    <row r="3" spans="1:8" ht="38.25" x14ac:dyDescent="0.25">
      <c r="A3" s="19">
        <v>1</v>
      </c>
      <c r="B3" s="20" t="str">
        <f>'Stakeholder Map'!C7</f>
        <v>Pemilik Klinik</v>
      </c>
      <c r="C3" s="21" t="s">
        <v>29</v>
      </c>
      <c r="D3" s="22">
        <f>'Stakeholder Map'!D7</f>
        <v>5</v>
      </c>
      <c r="E3" s="22">
        <f>'Stakeholder Map'!E7</f>
        <v>4</v>
      </c>
      <c r="F3" s="20" t="str">
        <f>'Stakeholder Map'!F7</f>
        <v>Kelola secara dekat</v>
      </c>
      <c r="G3" s="21" t="s">
        <v>30</v>
      </c>
      <c r="H3" s="21" t="s">
        <v>31</v>
      </c>
    </row>
    <row r="4" spans="1:8" ht="25.5" x14ac:dyDescent="0.25">
      <c r="A4" s="19">
        <v>2</v>
      </c>
      <c r="B4" s="20" t="str">
        <f>'Stakeholder Map'!C8</f>
        <v>Kepala Klinik</v>
      </c>
      <c r="C4" s="21" t="s">
        <v>32</v>
      </c>
      <c r="D4" s="22">
        <f>'Stakeholder Map'!D8</f>
        <v>5</v>
      </c>
      <c r="E4" s="22">
        <f>'Stakeholder Map'!E8</f>
        <v>5</v>
      </c>
      <c r="F4" s="20" t="str">
        <f>'Stakeholder Map'!F8</f>
        <v>Kelola secara dekat</v>
      </c>
      <c r="G4" s="21" t="s">
        <v>33</v>
      </c>
      <c r="H4" s="21" t="s">
        <v>34</v>
      </c>
    </row>
    <row r="5" spans="1:8" ht="25.5" x14ac:dyDescent="0.25">
      <c r="A5" s="19">
        <v>3</v>
      </c>
      <c r="B5" s="20" t="str">
        <f>'Stakeholder Map'!C9</f>
        <v>Divisi IT</v>
      </c>
      <c r="C5" s="21" t="s">
        <v>35</v>
      </c>
      <c r="D5" s="22">
        <f>'Stakeholder Map'!D9</f>
        <v>4</v>
      </c>
      <c r="E5" s="22">
        <f>'Stakeholder Map'!E9</f>
        <v>5</v>
      </c>
      <c r="F5" s="20" t="str">
        <f>'Stakeholder Map'!F9</f>
        <v>Kelola secara dekat</v>
      </c>
      <c r="G5" s="21" t="s">
        <v>36</v>
      </c>
      <c r="H5" s="21" t="s">
        <v>37</v>
      </c>
    </row>
    <row r="6" spans="1:8" ht="25.5" x14ac:dyDescent="0.25">
      <c r="A6" s="19">
        <v>4</v>
      </c>
      <c r="B6" s="20" t="str">
        <f>'Stakeholder Map'!C10</f>
        <v>Dokter</v>
      </c>
      <c r="C6" s="21" t="s">
        <v>38</v>
      </c>
      <c r="D6" s="22">
        <f>'Stakeholder Map'!D10</f>
        <v>4</v>
      </c>
      <c r="E6" s="22">
        <f>'Stakeholder Map'!E10</f>
        <v>5</v>
      </c>
      <c r="F6" s="20" t="str">
        <f>'Stakeholder Map'!F10</f>
        <v>Kelola secara dekat</v>
      </c>
      <c r="G6" s="21" t="s">
        <v>39</v>
      </c>
      <c r="H6" s="21" t="s">
        <v>40</v>
      </c>
    </row>
    <row r="7" spans="1:8" ht="25.5" x14ac:dyDescent="0.25">
      <c r="A7" s="19">
        <v>5</v>
      </c>
      <c r="B7" s="20" t="str">
        <f>'Stakeholder Map'!C11</f>
        <v>Vendor Pengembang</v>
      </c>
      <c r="C7" s="21" t="s">
        <v>41</v>
      </c>
      <c r="D7" s="22">
        <f>'Stakeholder Map'!D11</f>
        <v>4</v>
      </c>
      <c r="E7" s="22">
        <f>'Stakeholder Map'!E11</f>
        <v>3</v>
      </c>
      <c r="F7" s="20" t="str">
        <f>'Stakeholder Map'!F11</f>
        <v>Jaga kepuasan</v>
      </c>
      <c r="G7" s="21" t="s">
        <v>42</v>
      </c>
      <c r="H7" s="21" t="s">
        <v>43</v>
      </c>
    </row>
    <row r="8" spans="1:8" ht="25.5" x14ac:dyDescent="0.25">
      <c r="A8" s="19">
        <v>6</v>
      </c>
      <c r="B8" s="20" t="str">
        <f>'Stakeholder Map'!C12</f>
        <v>Perawat</v>
      </c>
      <c r="C8" s="21" t="s">
        <v>44</v>
      </c>
      <c r="D8" s="22">
        <f>'Stakeholder Map'!D12</f>
        <v>2</v>
      </c>
      <c r="E8" s="22">
        <f>'Stakeholder Map'!E12</f>
        <v>5</v>
      </c>
      <c r="F8" s="20" t="str">
        <f>'Stakeholder Map'!F12</f>
        <v>Libatkan, komunikasi rutin</v>
      </c>
      <c r="G8" s="21" t="s">
        <v>45</v>
      </c>
      <c r="H8" s="21" t="s">
        <v>46</v>
      </c>
    </row>
    <row r="9" spans="1:8" ht="25.5" x14ac:dyDescent="0.25">
      <c r="A9" s="19">
        <v>7</v>
      </c>
      <c r="B9" s="20" t="str">
        <f>'Stakeholder Map'!C13</f>
        <v>Petugas Pendaftaran</v>
      </c>
      <c r="C9" s="21" t="s">
        <v>47</v>
      </c>
      <c r="D9" s="22">
        <f>'Stakeholder Map'!D13</f>
        <v>2</v>
      </c>
      <c r="E9" s="22">
        <f>'Stakeholder Map'!E13</f>
        <v>5</v>
      </c>
      <c r="F9" s="20" t="str">
        <f>'Stakeholder Map'!F13</f>
        <v>Libatkan, komunikasi rutin</v>
      </c>
      <c r="G9" s="21" t="s">
        <v>48</v>
      </c>
      <c r="H9" s="21" t="s">
        <v>49</v>
      </c>
    </row>
    <row r="10" spans="1:8" ht="25.5" x14ac:dyDescent="0.25">
      <c r="A10" s="19">
        <v>8</v>
      </c>
      <c r="B10" s="20" t="str">
        <f>'Stakeholder Map'!C14</f>
        <v>Apoteker</v>
      </c>
      <c r="C10" s="21" t="s">
        <v>50</v>
      </c>
      <c r="D10" s="22">
        <f>'Stakeholder Map'!D14</f>
        <v>3</v>
      </c>
      <c r="E10" s="22">
        <f>'Stakeholder Map'!E14</f>
        <v>4</v>
      </c>
      <c r="F10" s="20" t="str">
        <f>'Stakeholder Map'!F14</f>
        <v>Libatkan, komunikasi rutin</v>
      </c>
      <c r="G10" s="21" t="s">
        <v>51</v>
      </c>
      <c r="H10" s="21" t="s">
        <v>52</v>
      </c>
    </row>
    <row r="11" spans="1:8" ht="25.5" x14ac:dyDescent="0.25">
      <c r="A11" s="19">
        <v>9</v>
      </c>
      <c r="B11" s="20" t="str">
        <f>'Stakeholder Map'!C15</f>
        <v>Petugas Kasir/Keuangan</v>
      </c>
      <c r="C11" s="21" t="s">
        <v>53</v>
      </c>
      <c r="D11" s="22">
        <f>'Stakeholder Map'!D15</f>
        <v>3</v>
      </c>
      <c r="E11" s="22">
        <f>'Stakeholder Map'!E15</f>
        <v>4</v>
      </c>
      <c r="F11" s="20" t="str">
        <f>'Stakeholder Map'!F15</f>
        <v>Libatkan, komunikasi rutin</v>
      </c>
      <c r="G11" s="21" t="s">
        <v>54</v>
      </c>
      <c r="H11" s="21" t="s">
        <v>55</v>
      </c>
    </row>
    <row r="12" spans="1:8" ht="25.5" x14ac:dyDescent="0.25">
      <c r="A12" s="19">
        <v>10</v>
      </c>
      <c r="B12" s="20" t="str">
        <f>'Stakeholder Map'!C16</f>
        <v>Pasien</v>
      </c>
      <c r="C12" s="21" t="s">
        <v>56</v>
      </c>
      <c r="D12" s="22">
        <f>'Stakeholder Map'!D16</f>
        <v>2</v>
      </c>
      <c r="E12" s="22">
        <f>'Stakeholder Map'!E16</f>
        <v>4</v>
      </c>
      <c r="F12" s="20" t="str">
        <f>'Stakeholder Map'!F16</f>
        <v>Libatkan, komunikasi rutin</v>
      </c>
      <c r="G12" s="21" t="s">
        <v>57</v>
      </c>
      <c r="H12" s="21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Map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Mahasiswa 3</cp:lastModifiedBy>
  <cp:revision>1</cp:revision>
  <dcterms:created xsi:type="dcterms:W3CDTF">2026-10-02T07:09:24Z</dcterms:created>
  <dcterms:modified xsi:type="dcterms:W3CDTF">2026-10-02T08:06:28Z</dcterms:modified>
  <dc:language>en-US</dc:language>
</cp:coreProperties>
</file>